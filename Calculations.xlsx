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lightComputer\"/>
    </mc:Choice>
  </mc:AlternateContent>
  <xr:revisionPtr revIDLastSave="0" documentId="13_ncr:1_{C39C9D92-6C52-4259-B180-A83F18B12676}" xr6:coauthVersionLast="47" xr6:coauthVersionMax="47" xr10:uidLastSave="{00000000-0000-0000-0000-000000000000}"/>
  <bookViews>
    <workbookView xWindow="4695" yWindow="0" windowWidth="28800" windowHeight="15345" xr2:uid="{9B805F8B-34DA-4B52-9817-F33E613B7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7" i="1"/>
  <c r="C36" i="1"/>
  <c r="B31" i="1"/>
  <c r="B27" i="1"/>
  <c r="F21" i="1"/>
  <c r="F22" i="1" s="1"/>
  <c r="B22" i="1"/>
  <c r="B21" i="1"/>
  <c r="B12" i="1"/>
  <c r="B7" i="1"/>
</calcChain>
</file>

<file path=xl/sharedStrings.xml><?xml version="1.0" encoding="utf-8"?>
<sst xmlns="http://schemas.openxmlformats.org/spreadsheetml/2006/main" count="66" uniqueCount="33">
  <si>
    <t>Buck Regulator</t>
  </si>
  <si>
    <t>TPS562203</t>
  </si>
  <si>
    <t>V(en) Th</t>
  </si>
  <si>
    <t>V</t>
  </si>
  <si>
    <t>Input V</t>
  </si>
  <si>
    <t>V(en)</t>
  </si>
  <si>
    <t>R1</t>
  </si>
  <si>
    <t>R2</t>
  </si>
  <si>
    <t>Feedback Circuit</t>
  </si>
  <si>
    <t>Enable Circuit (VBATT UVLO)</t>
  </si>
  <si>
    <t>Vout</t>
  </si>
  <si>
    <t>R</t>
  </si>
  <si>
    <t>Vout (required)</t>
  </si>
  <si>
    <t>Inductor</t>
  </si>
  <si>
    <t>Vin(Max)</t>
  </si>
  <si>
    <t>Lout</t>
  </si>
  <si>
    <t>Fsw</t>
  </si>
  <si>
    <t>kHz</t>
  </si>
  <si>
    <t>uH</t>
  </si>
  <si>
    <t>Ilp-p</t>
  </si>
  <si>
    <t>Ilpeak</t>
  </si>
  <si>
    <t>Io</t>
  </si>
  <si>
    <t>A</t>
  </si>
  <si>
    <t>Vbat Monitor</t>
  </si>
  <si>
    <t>Vin Max</t>
  </si>
  <si>
    <t>ADC Vmax</t>
  </si>
  <si>
    <t>LEDs</t>
  </si>
  <si>
    <t>VBATT</t>
  </si>
  <si>
    <t>Vf</t>
  </si>
  <si>
    <t>If</t>
  </si>
  <si>
    <t>If Max</t>
  </si>
  <si>
    <t>3V3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</si>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</sst>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D79F-AC7F-4CAF-8DBA-6264554563DA}">
  <dimension ref="A1:G41"/>
  <sheetViews>
    <sheetView tabSelected="1" topLeftCell="A10" workbookViewId="0">
      <selection activeCell="P34" sqref="P34"/>
    </sheetView>
  </sheetViews>
  <sheetFormatPr defaultRowHeight="15" x14ac:dyDescent="0.25"/>
  <cols>
    <col min="1" max="1" width="14.42578125" bestFit="1" customWidth="1"/>
  </cols>
  <sheetData>
    <row r="1" spans="1:6" x14ac:dyDescent="0.25">
      <c r="A1" s="2" t="s">
        <v>0</v>
      </c>
      <c r="B1" s="2"/>
      <c r="C1" s="2"/>
      <c r="D1" s="2" t="s">
        <v>1</v>
      </c>
      <c r="E1" s="2"/>
      <c r="F1" s="2"/>
    </row>
    <row r="2" spans="1:6" x14ac:dyDescent="0.25">
      <c r="A2" s="3" t="s">
        <v>9</v>
      </c>
      <c r="B2" s="3"/>
      <c r="C2" s="3"/>
      <c r="D2" s="1"/>
      <c r="E2" s="1"/>
      <c r="F2" s="1"/>
    </row>
    <row r="3" spans="1:6" x14ac:dyDescent="0.25">
      <c r="A3" t="s">
        <v>2</v>
      </c>
      <c r="B3">
        <v>1.27</v>
      </c>
      <c r="C3" t="s">
        <v>3</v>
      </c>
    </row>
    <row r="4" spans="1:6" x14ac:dyDescent="0.25">
      <c r="A4" t="s">
        <v>4</v>
      </c>
      <c r="B4">
        <v>14.4</v>
      </c>
      <c r="C4" t="s">
        <v>3</v>
      </c>
    </row>
    <row r="5" spans="1:6" x14ac:dyDescent="0.25">
      <c r="A5" t="s">
        <v>6</v>
      </c>
      <c r="B5">
        <v>110000</v>
      </c>
      <c r="C5" t="s">
        <v>11</v>
      </c>
    </row>
    <row r="6" spans="1:6" x14ac:dyDescent="0.25">
      <c r="A6" t="s">
        <v>7</v>
      </c>
      <c r="B6">
        <v>11000</v>
      </c>
      <c r="C6" t="s">
        <v>11</v>
      </c>
    </row>
    <row r="7" spans="1:6" x14ac:dyDescent="0.25">
      <c r="A7" t="s">
        <v>5</v>
      </c>
      <c r="B7">
        <f>B4*(B6/(B6+B5))</f>
        <v>1.3090909090909091</v>
      </c>
      <c r="C7" t="s">
        <v>3</v>
      </c>
    </row>
    <row r="9" spans="1:6" x14ac:dyDescent="0.25">
      <c r="A9" s="3" t="s">
        <v>8</v>
      </c>
      <c r="B9" s="3"/>
      <c r="C9" s="3"/>
    </row>
    <row r="10" spans="1:6" x14ac:dyDescent="0.25">
      <c r="A10" t="s">
        <v>12</v>
      </c>
      <c r="B10">
        <v>3.3</v>
      </c>
      <c r="C10" t="s">
        <v>3</v>
      </c>
    </row>
    <row r="11" spans="1:6" x14ac:dyDescent="0.25">
      <c r="A11" t="s">
        <v>6</v>
      </c>
      <c r="B11">
        <v>135000</v>
      </c>
      <c r="C11" t="s">
        <v>11</v>
      </c>
    </row>
    <row r="12" spans="1:6" x14ac:dyDescent="0.25">
      <c r="A12" t="s">
        <v>7</v>
      </c>
      <c r="B12">
        <f>B11/((B10/0.6)-1)</f>
        <v>30000</v>
      </c>
      <c r="C12" t="s">
        <v>11</v>
      </c>
    </row>
    <row r="15" spans="1:6" x14ac:dyDescent="0.25">
      <c r="A15" s="3" t="s">
        <v>13</v>
      </c>
      <c r="B15" s="3"/>
      <c r="C15" s="3"/>
    </row>
    <row r="16" spans="1:6" x14ac:dyDescent="0.25">
      <c r="A16" t="s">
        <v>10</v>
      </c>
      <c r="B16">
        <v>3.3</v>
      </c>
      <c r="C16" t="s">
        <v>3</v>
      </c>
      <c r="E16" t="s">
        <v>10</v>
      </c>
      <c r="F16">
        <v>1.05</v>
      </c>
    </row>
    <row r="17" spans="1:7" x14ac:dyDescent="0.25">
      <c r="A17" t="s">
        <v>14</v>
      </c>
      <c r="B17">
        <v>16.8</v>
      </c>
      <c r="C17" t="s">
        <v>3</v>
      </c>
      <c r="E17" t="s">
        <v>14</v>
      </c>
      <c r="F17">
        <v>17</v>
      </c>
    </row>
    <row r="18" spans="1:7" x14ac:dyDescent="0.25">
      <c r="A18" t="s">
        <v>15</v>
      </c>
      <c r="B18">
        <v>4.7</v>
      </c>
      <c r="C18" t="s">
        <v>18</v>
      </c>
      <c r="E18" t="s">
        <v>15</v>
      </c>
      <c r="F18">
        <v>3.3</v>
      </c>
    </row>
    <row r="19" spans="1:7" x14ac:dyDescent="0.25">
      <c r="A19" t="s">
        <v>16</v>
      </c>
      <c r="B19">
        <v>600</v>
      </c>
      <c r="C19" t="s">
        <v>17</v>
      </c>
      <c r="E19" t="s">
        <v>16</v>
      </c>
      <c r="F19">
        <v>600</v>
      </c>
    </row>
    <row r="20" spans="1:7" x14ac:dyDescent="0.25">
      <c r="A20" t="s">
        <v>21</v>
      </c>
      <c r="B20">
        <v>2</v>
      </c>
      <c r="C20" t="s">
        <v>22</v>
      </c>
      <c r="E20" t="s">
        <v>21</v>
      </c>
      <c r="F20">
        <v>2</v>
      </c>
      <c r="G20" t="s">
        <v>22</v>
      </c>
    </row>
    <row r="21" spans="1:7" ht="14.25" customHeight="1" x14ac:dyDescent="0.25">
      <c r="A21" t="s">
        <v>19</v>
      </c>
      <c r="B21">
        <f>(B16/B17)-((B17-B16)/((B18)*(B19)))</f>
        <v>0.19164133738601821</v>
      </c>
      <c r="E21" t="s">
        <v>19</v>
      </c>
      <c r="F21">
        <f>(F16/F17)-((F17-F16)/((F18)*(F19)))</f>
        <v>5.3709150326797392E-2</v>
      </c>
    </row>
    <row r="22" spans="1:7" x14ac:dyDescent="0.25">
      <c r="A22" t="s">
        <v>20</v>
      </c>
      <c r="B22">
        <f>B20+(B21/2)</f>
        <v>2.0958206686930092</v>
      </c>
      <c r="E22" t="s">
        <v>20</v>
      </c>
      <c r="F22">
        <f>F20+(F21/2)</f>
        <v>2.0268545751633988</v>
      </c>
    </row>
    <row r="26" spans="1:7" x14ac:dyDescent="0.25">
      <c r="A26" s="3" t="s">
        <v>23</v>
      </c>
      <c r="B26" s="3"/>
      <c r="C26" s="3"/>
    </row>
    <row r="27" spans="1:7" x14ac:dyDescent="0.25">
      <c r="A27" t="s">
        <v>24</v>
      </c>
      <c r="B27">
        <f>4.2*4</f>
        <v>16.8</v>
      </c>
      <c r="C27" t="s">
        <v>3</v>
      </c>
    </row>
    <row r="28" spans="1:7" x14ac:dyDescent="0.25">
      <c r="A28" t="s">
        <v>25</v>
      </c>
      <c r="B28">
        <v>3</v>
      </c>
      <c r="C28" t="s">
        <v>3</v>
      </c>
    </row>
    <row r="29" spans="1:7" x14ac:dyDescent="0.25">
      <c r="A29" t="s">
        <v>6</v>
      </c>
      <c r="B29">
        <v>24000</v>
      </c>
    </row>
    <row r="30" spans="1:7" x14ac:dyDescent="0.25">
      <c r="A30" t="s">
        <v>7</v>
      </c>
      <c r="B30">
        <v>5100</v>
      </c>
    </row>
    <row r="31" spans="1:7" x14ac:dyDescent="0.25">
      <c r="A31" t="s">
        <v>10</v>
      </c>
      <c r="B31">
        <f>B27*(B30/(B30+B29))</f>
        <v>2.9443298969072162</v>
      </c>
    </row>
    <row r="33" spans="1:4" x14ac:dyDescent="0.25">
      <c r="A33" s="3" t="s">
        <v>26</v>
      </c>
      <c r="B33" s="3"/>
      <c r="C33" s="3"/>
    </row>
    <row r="34" spans="1:4" x14ac:dyDescent="0.25">
      <c r="A34" s="3" t="s">
        <v>27</v>
      </c>
      <c r="B34" t="s">
        <v>28</v>
      </c>
      <c r="C34">
        <v>2</v>
      </c>
      <c r="D34" t="s">
        <v>3</v>
      </c>
    </row>
    <row r="35" spans="1:4" x14ac:dyDescent="0.25">
      <c r="A35" s="3"/>
      <c r="B35" t="s">
        <v>11</v>
      </c>
      <c r="C35">
        <v>1000</v>
      </c>
      <c r="D35" t="s">
        <v>11</v>
      </c>
    </row>
    <row r="36" spans="1:4" x14ac:dyDescent="0.25">
      <c r="A36" s="3"/>
      <c r="B36" t="s">
        <v>29</v>
      </c>
      <c r="C36">
        <f>(B27-C34)/C35</f>
        <v>1.4800000000000001E-2</v>
      </c>
      <c r="D36" t="s">
        <v>22</v>
      </c>
    </row>
    <row r="37" spans="1:4" x14ac:dyDescent="0.25">
      <c r="A37" s="3"/>
      <c r="B37" t="s">
        <v>30</v>
      </c>
      <c r="C37">
        <f>20*10^-3</f>
        <v>0.02</v>
      </c>
      <c r="D37" t="s">
        <v>22</v>
      </c>
    </row>
    <row r="38" spans="1:4" x14ac:dyDescent="0.25">
      <c r="A38" s="3" t="s">
        <v>31</v>
      </c>
      <c r="B38" t="s">
        <v>28</v>
      </c>
      <c r="C38">
        <v>2.1</v>
      </c>
    </row>
    <row r="39" spans="1:4" x14ac:dyDescent="0.25">
      <c r="A39" s="3"/>
      <c r="B39" t="s">
        <v>11</v>
      </c>
      <c r="C39">
        <v>1000</v>
      </c>
    </row>
    <row r="40" spans="1:4" x14ac:dyDescent="0.25">
      <c r="A40" s="3"/>
      <c r="B40" t="s">
        <v>29</v>
      </c>
      <c r="C40">
        <f>(B16-C38)/C39</f>
        <v>1.1999999999999997E-3</v>
      </c>
      <c r="D40" t="s">
        <v>32</v>
      </c>
    </row>
    <row r="41" spans="1:4" x14ac:dyDescent="0.25">
      <c r="A41" s="3"/>
      <c r="B41" t="s">
        <v>30</v>
      </c>
      <c r="C41">
        <v>0.02</v>
      </c>
      <c r="D41" t="s">
        <v>22</v>
      </c>
    </row>
  </sheetData>
  <mergeCells count="9">
    <mergeCell ref="A26:C26"/>
    <mergeCell ref="A33:C33"/>
    <mergeCell ref="A34:A37"/>
    <mergeCell ref="A38:A41"/>
    <mergeCell ref="A1:C1"/>
    <mergeCell ref="D1:F1"/>
    <mergeCell ref="A2:C2"/>
    <mergeCell ref="A9:C9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Davie</dc:creator>
  <cp:lastModifiedBy>Matthew Davie</cp:lastModifiedBy>
  <dcterms:created xsi:type="dcterms:W3CDTF">2026-01-17T14:18:53Z</dcterms:created>
  <dcterms:modified xsi:type="dcterms:W3CDTF">2026-01-18T02:40:38Z</dcterms:modified>
</cp:coreProperties>
</file>